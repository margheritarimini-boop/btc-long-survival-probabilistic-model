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ONG SURVIVAL\NUOVE\"/>
    </mc:Choice>
  </mc:AlternateContent>
  <xr:revisionPtr revIDLastSave="0" documentId="8_{BF0131F4-C659-44F1-A7B9-3F55BE262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" sheetId="1" r:id="rId1"/>
  </sheets>
  <calcPr calcId="191029"/>
</workbook>
</file>

<file path=xl/calcChain.xml><?xml version="1.0" encoding="utf-8"?>
<calcChain xmlns="http://schemas.openxmlformats.org/spreadsheetml/2006/main">
  <c r="I14" i="1" l="1"/>
  <c r="H14" i="1"/>
  <c r="H13" i="1"/>
  <c r="I13" i="1" s="1"/>
  <c r="I12" i="1"/>
  <c r="H12" i="1"/>
  <c r="H11" i="1"/>
  <c r="I11" i="1" s="1"/>
  <c r="G5" i="1" s="1"/>
  <c r="G6" i="1" s="1"/>
  <c r="I10" i="1"/>
  <c r="H10" i="1"/>
  <c r="I9" i="1"/>
  <c r="H9" i="1"/>
  <c r="D9" i="1"/>
  <c r="D8" i="1"/>
  <c r="D7" i="1"/>
  <c r="D6" i="1"/>
  <c r="D5" i="1"/>
  <c r="D4" i="1"/>
  <c r="D11" i="1" s="1"/>
</calcChain>
</file>

<file path=xl/sharedStrings.xml><?xml version="1.0" encoding="utf-8"?>
<sst xmlns="http://schemas.openxmlformats.org/spreadsheetml/2006/main" count="26" uniqueCount="19">
  <si>
    <t>Integrated long-survival score (OS &gt;18 months)</t>
  </si>
  <si>
    <t>Input (0/1)</t>
  </si>
  <si>
    <t>Description</t>
  </si>
  <si>
    <t>Points</t>
  </si>
  <si>
    <t>Contribution</t>
  </si>
  <si>
    <t>Probabilistic model (logistic)</t>
  </si>
  <si>
    <t>ECOG PS = 0</t>
  </si>
  <si>
    <t>Intercept (alpha)</t>
  </si>
  <si>
    <t>NLR &lt; 3</t>
  </si>
  <si>
    <t>Linear predictor</t>
  </si>
  <si>
    <t>Previous surgery = yes</t>
  </si>
  <si>
    <t>Probability</t>
  </si>
  <si>
    <t>Locally advanced (vs metastatic)</t>
  </si>
  <si>
    <t>PALB2 mutated</t>
  </si>
  <si>
    <t>Variable</t>
  </si>
  <si>
    <t>Beta</t>
  </si>
  <si>
    <t>Input</t>
  </si>
  <si>
    <t>PBRM1 mutated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</si>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</sst>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5" fontId="2" fillId="0" borderId="0" xfId="0" applyNumberFormat="1" applyFont="1"/>
    <xf numFmtId="164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4" x14ac:dyDescent="0.3"/>
  <cols>
    <col min="1" max="1" width="14" customWidth="1"/>
    <col min="2" max="2" width="36" customWidth="1"/>
    <col min="3" max="3" width="10" customWidth="1"/>
    <col min="4" max="4" width="14" customWidth="1"/>
    <col min="6" max="6" width="30" customWidth="1"/>
    <col min="7" max="7" width="12" customWidth="1"/>
    <col min="8" max="8" width="10" customWidth="1"/>
    <col min="9" max="9" width="14" customWidth="1"/>
  </cols>
  <sheetData>
    <row r="1" spans="1:9" ht="18" x14ac:dyDescent="0.35">
      <c r="A1" s="1" t="s">
        <v>0</v>
      </c>
    </row>
    <row r="3" spans="1:9" x14ac:dyDescent="0.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</row>
    <row r="4" spans="1:9" x14ac:dyDescent="0.3">
      <c r="A4" s="4">
        <v>0</v>
      </c>
      <c r="B4" s="5" t="s">
        <v>6</v>
      </c>
      <c r="C4" s="4">
        <v>4</v>
      </c>
      <c r="D4" s="4">
        <f t="shared" ref="D4:D9" si="0">A4*C4</f>
        <v>0</v>
      </c>
      <c r="F4" t="s">
        <v>7</v>
      </c>
      <c r="G4" s="6">
        <v>-3.1914128959961232</v>
      </c>
    </row>
    <row r="5" spans="1:9" x14ac:dyDescent="0.3">
      <c r="A5" s="4">
        <v>0</v>
      </c>
      <c r="B5" s="5" t="s">
        <v>8</v>
      </c>
      <c r="C5" s="4">
        <v>2</v>
      </c>
      <c r="D5" s="4">
        <f t="shared" si="0"/>
        <v>0</v>
      </c>
      <c r="F5" t="s">
        <v>9</v>
      </c>
      <c r="G5" s="6">
        <f>G4+SUM(I9:I14)</f>
        <v>-3.1914128959961232</v>
      </c>
    </row>
    <row r="6" spans="1:9" x14ac:dyDescent="0.3">
      <c r="A6" s="4">
        <v>0</v>
      </c>
      <c r="B6" s="5" t="s">
        <v>10</v>
      </c>
      <c r="C6" s="4">
        <v>2</v>
      </c>
      <c r="D6" s="4">
        <f t="shared" si="0"/>
        <v>0</v>
      </c>
      <c r="F6" s="3" t="s">
        <v>11</v>
      </c>
      <c r="G6" s="7">
        <f>1/(1+EXP(-G5))</f>
        <v>3.9490152560854169E-2</v>
      </c>
    </row>
    <row r="7" spans="1:9" x14ac:dyDescent="0.3">
      <c r="A7" s="4">
        <v>0</v>
      </c>
      <c r="B7" s="5" t="s">
        <v>12</v>
      </c>
      <c r="C7" s="4">
        <v>1</v>
      </c>
      <c r="D7" s="4">
        <f t="shared" si="0"/>
        <v>0</v>
      </c>
    </row>
    <row r="8" spans="1:9" x14ac:dyDescent="0.3">
      <c r="A8" s="4">
        <v>0</v>
      </c>
      <c r="B8" s="5" t="s">
        <v>13</v>
      </c>
      <c r="C8" s="4">
        <v>1</v>
      </c>
      <c r="D8" s="4">
        <f t="shared" si="0"/>
        <v>0</v>
      </c>
      <c r="F8" s="2" t="s">
        <v>14</v>
      </c>
      <c r="G8" s="2" t="s">
        <v>15</v>
      </c>
      <c r="H8" s="2" t="s">
        <v>16</v>
      </c>
      <c r="I8" s="2" t="s">
        <v>4</v>
      </c>
    </row>
    <row r="9" spans="1:9" x14ac:dyDescent="0.3">
      <c r="A9" s="4">
        <v>0</v>
      </c>
      <c r="B9" s="5" t="s">
        <v>17</v>
      </c>
      <c r="C9" s="4">
        <v>4</v>
      </c>
      <c r="D9" s="4">
        <f t="shared" si="0"/>
        <v>0</v>
      </c>
      <c r="F9" s="5" t="s">
        <v>6</v>
      </c>
      <c r="G9" s="8">
        <v>1.1055602685109589</v>
      </c>
      <c r="H9" s="5">
        <f t="shared" ref="H9:H14" si="1">A4</f>
        <v>0</v>
      </c>
      <c r="I9" s="8">
        <f t="shared" ref="I9:I14" si="2">G9*H9</f>
        <v>0</v>
      </c>
    </row>
    <row r="10" spans="1:9" x14ac:dyDescent="0.3">
      <c r="F10" s="5" t="s">
        <v>8</v>
      </c>
      <c r="G10" s="8">
        <v>0.45588696257000372</v>
      </c>
      <c r="H10" s="5">
        <f t="shared" si="1"/>
        <v>0</v>
      </c>
      <c r="I10" s="8">
        <f t="shared" si="2"/>
        <v>0</v>
      </c>
    </row>
    <row r="11" spans="1:9" x14ac:dyDescent="0.3">
      <c r="C11" s="3" t="s">
        <v>18</v>
      </c>
      <c r="D11" s="9">
        <f>SUM(D4:D9)</f>
        <v>0</v>
      </c>
      <c r="F11" s="5" t="s">
        <v>10</v>
      </c>
      <c r="G11" s="8">
        <v>0.54767524489590302</v>
      </c>
      <c r="H11" s="5">
        <f t="shared" si="1"/>
        <v>0</v>
      </c>
      <c r="I11" s="8">
        <f t="shared" si="2"/>
        <v>0</v>
      </c>
    </row>
    <row r="12" spans="1:9" x14ac:dyDescent="0.3">
      <c r="F12" s="5" t="s">
        <v>12</v>
      </c>
      <c r="G12" s="8">
        <v>0.29381035154669682</v>
      </c>
      <c r="H12" s="5">
        <f t="shared" si="1"/>
        <v>0</v>
      </c>
      <c r="I12" s="8">
        <f t="shared" si="2"/>
        <v>0</v>
      </c>
    </row>
    <row r="13" spans="1:9" x14ac:dyDescent="0.3">
      <c r="F13" s="5" t="s">
        <v>13</v>
      </c>
      <c r="G13" s="8">
        <v>0.38914323945931117</v>
      </c>
      <c r="H13" s="5">
        <f t="shared" si="1"/>
        <v>0</v>
      </c>
      <c r="I13" s="8">
        <f t="shared" si="2"/>
        <v>0</v>
      </c>
    </row>
    <row r="14" spans="1:9" x14ac:dyDescent="0.3">
      <c r="F14" s="5" t="s">
        <v>17</v>
      </c>
      <c r="G14" s="8">
        <v>1.2296517266904889</v>
      </c>
      <c r="H14" s="5">
        <f t="shared" si="1"/>
        <v>0</v>
      </c>
      <c r="I14" s="8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Margherita Rimini</cp:lastModifiedBy>
  <dcterms:created xsi:type="dcterms:W3CDTF">2026-01-29T11:00:28Z</dcterms:created>
  <dcterms:modified xsi:type="dcterms:W3CDTF">2026-02-02T11:15:27Z</dcterms:modified>
</cp:coreProperties>
</file>