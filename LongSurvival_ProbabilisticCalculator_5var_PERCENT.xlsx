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LONG SURVIVAL\NUOVE\"/>
    </mc:Choice>
  </mc:AlternateContent>
  <xr:revisionPtr revIDLastSave="0" documentId="8_{BF861D06-B56A-46E0-BE89-AB0610822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tor" sheetId="1" r:id="rId1"/>
  </sheets>
  <calcPr calcId="191029"/>
</workbook>
</file>

<file path=xl/calcChain.xml><?xml version="1.0" encoding="utf-8"?>
<calcChain xmlns="http://schemas.openxmlformats.org/spreadsheetml/2006/main">
  <c r="B9" i="1" l="1"/>
  <c r="B10" i="1" s="1"/>
</calcChain>
</file>

<file path=xl/sharedStrings.xml><?xml version="1.0" encoding="utf-8"?>
<sst xmlns="http://schemas.openxmlformats.org/spreadsheetml/2006/main" count="24" uniqueCount="23">
  <si>
    <t>Input variable</t>
  </si>
  <si>
    <t>Value (0/1)</t>
  </si>
  <si>
    <t>Definition</t>
  </si>
  <si>
    <t>Model coefficients</t>
  </si>
  <si>
    <t>ECOG ≥1</t>
  </si>
  <si>
    <t>1 if ECOG PS ≥1; 0 if ECOG 0</t>
  </si>
  <si>
    <t>β0 (Intercept)</t>
  </si>
  <si>
    <t>NLR ≥3</t>
  </si>
  <si>
    <t>1 if NLR ≥3; 0 if NLR &lt;3</t>
  </si>
  <si>
    <t>β1 (ECOG ≥1)</t>
  </si>
  <si>
    <t>CEA above normal</t>
  </si>
  <si>
    <t>1 if CEA &gt;3.8; 0 if ≤3.8</t>
  </si>
  <si>
    <t>β2 (NLR ≥3)</t>
  </si>
  <si>
    <t>PALB2 mutated</t>
  </si>
  <si>
    <t>1 if mutated; 0 if WT</t>
  </si>
  <si>
    <t>β3 (CEA high)</t>
  </si>
  <si>
    <t>PBRM1 mutated</t>
  </si>
  <si>
    <t>β4 (PALB2 mut)</t>
  </si>
  <si>
    <t>β5 (PBRM1 mut)</t>
  </si>
  <si>
    <t>Predicted probability of long survival (OS&gt;18m)</t>
  </si>
  <si>
    <t>Logistic model output</t>
  </si>
  <si>
    <t>Predicted probability of long survival (%)</t>
  </si>
  <si>
    <t>Displayed as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</si>
</sst>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0" fontId="1" fillId="0" borderId="1" xfId="0" applyFont="1" applyBorder="1"/>
    <xf numFmtId="10" fontId="0" fillId="0" borderId="1" xfId="0" applyNumberFormat="1" applyBorder="1"/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30" customWidth="1"/>
    <col min="2" max="2" width="18" customWidth="1"/>
    <col min="3" max="3" width="48" customWidth="1"/>
    <col min="4" max="4" width="20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5" x14ac:dyDescent="0.3">
      <c r="A2" s="3" t="s">
        <v>4</v>
      </c>
      <c r="B2" s="3">
        <v>0</v>
      </c>
      <c r="C2" s="3" t="s">
        <v>5</v>
      </c>
      <c r="D2" s="4" t="s">
        <v>6</v>
      </c>
      <c r="E2" s="5">
        <v>-1.1375543907064869</v>
      </c>
    </row>
    <row r="3" spans="1:5" x14ac:dyDescent="0.3">
      <c r="A3" s="3" t="s">
        <v>7</v>
      </c>
      <c r="B3" s="3">
        <v>0</v>
      </c>
      <c r="C3" s="3" t="s">
        <v>8</v>
      </c>
      <c r="D3" s="4" t="s">
        <v>9</v>
      </c>
      <c r="E3" s="5">
        <v>-1.0403085213550449</v>
      </c>
    </row>
    <row r="4" spans="1:5" x14ac:dyDescent="0.3">
      <c r="A4" s="3" t="s">
        <v>10</v>
      </c>
      <c r="B4" s="3">
        <v>0</v>
      </c>
      <c r="C4" s="3" t="s">
        <v>11</v>
      </c>
      <c r="D4" s="4" t="s">
        <v>12</v>
      </c>
      <c r="E4" s="5">
        <v>-0.54210927216532867</v>
      </c>
    </row>
    <row r="5" spans="1:5" x14ac:dyDescent="0.3">
      <c r="A5" s="3" t="s">
        <v>13</v>
      </c>
      <c r="B5" s="3">
        <v>1</v>
      </c>
      <c r="C5" s="3" t="s">
        <v>14</v>
      </c>
      <c r="D5" s="4" t="s">
        <v>15</v>
      </c>
      <c r="E5" s="5">
        <v>-0.56551196421118666</v>
      </c>
    </row>
    <row r="6" spans="1:5" x14ac:dyDescent="0.3">
      <c r="A6" s="3" t="s">
        <v>16</v>
      </c>
      <c r="B6" s="3">
        <v>1</v>
      </c>
      <c r="C6" s="3" t="s">
        <v>14</v>
      </c>
      <c r="D6" s="4" t="s">
        <v>17</v>
      </c>
      <c r="E6" s="5">
        <v>0.61967634528931048</v>
      </c>
    </row>
    <row r="7" spans="1:5" x14ac:dyDescent="0.3">
      <c r="D7" s="4" t="s">
        <v>18</v>
      </c>
      <c r="E7" s="5">
        <v>1.016088907637551</v>
      </c>
    </row>
    <row r="9" spans="1:5" x14ac:dyDescent="0.3">
      <c r="A9" s="6" t="s">
        <v>19</v>
      </c>
      <c r="B9" s="7">
        <f>1/(1+EXP(-(E2+E3*B2+E4*B3+E5*B4+E6*B5+E7*B6)))</f>
        <v>0.62203878515396771</v>
      </c>
      <c r="C9" s="3" t="s">
        <v>20</v>
      </c>
    </row>
    <row r="10" spans="1:5" x14ac:dyDescent="0.3">
      <c r="A10" t="s">
        <v>21</v>
      </c>
      <c r="B10" s="8">
        <f>B9</f>
        <v>0.62203878515396771</v>
      </c>
      <c r="C1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Margherita Rimini</cp:lastModifiedBy>
  <dcterms:created xsi:type="dcterms:W3CDTF">2026-02-03T12:58:40Z</dcterms:created>
  <dcterms:modified xsi:type="dcterms:W3CDTF">2026-02-03T15:17:23Z</dcterms:modified>
</cp:coreProperties>
</file>